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Data" sheetId="3" state="visible" r:id="rId3"/>
    <sheet name="Triangle" sheetId="4" state="visible" r:id="rId4"/>
    <sheet name="ATA" sheetId="5" state="visible" r:id="rId5"/>
    <sheet name="Ultimates" sheetId="6" state="visible" r:id="rId6"/>
    <sheet name="Checks" sheetId="7" state="visible" r:id="rId7"/>
  </sheets>
  <definedNames>
    <definedName name="WorkbookTitle">Inputs!$B$6</definedName>
    <definedName name="LineCode">Inputs!$B$7</definedName>
    <definedName name="TriangleType">Inputs!$B$8</definedName>
    <definedName name="LossBasis">Inputs!$B$9</definedName>
    <definedName name="FirstAY">Inputs!$B$10</definedName>
    <definedName name="DevInterval">Inputs!$B$11</definedName>
    <definedName name="EvalDate">Inputs!$B$12</definedName>
    <definedName name="Units">Inputs!$B$13</definedName>
    <definedName name="Tolerance">Inputs!$B$14</definedName>
    <definedName name="MasterCheck">Checks!$E$15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;(#,##0);&quot;–&quot;"/>
    <numFmt numFmtId="166" formatCode="0.000"/>
    <numFmt numFmtId="167" formatCode="0.0%"/>
  </numFmts>
  <fonts count="10">
    <font>
      <name val="Calibri"/>
      <family val="2"/>
      <color theme="1"/>
      <sz val="11"/>
      <scheme val="minor"/>
    </font>
    <font>
      <name val="Calibri"/>
      <color rgb="000000FF"/>
    </font>
    <font>
      <name val="Calibri"/>
      <color rgb="00000000"/>
    </font>
    <font>
      <name val="Calibri"/>
      <color rgb="00008000"/>
    </font>
    <font>
      <name val="Calibri"/>
      <b val="1"/>
    </font>
    <font>
      <name val="Calibri"/>
      <b val="1"/>
      <sz val="14"/>
    </font>
    <font>
      <name val="Calibri"/>
      <b val="1"/>
      <color rgb="00404040"/>
      <sz val="11"/>
    </font>
    <font>
      <name val="Calibri"/>
      <i val="1"/>
      <color rgb="007F7F7F"/>
    </font>
    <font>
      <name val="Calibri"/>
    </font>
    <font>
      <name val="Calibri"/>
      <b val="1"/>
      <color rgb="0000800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0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bottom style="thin">
        <color rgb="00000000"/>
      </bottom>
    </border>
    <border>
      <top style="thin">
        <color rgb="00000000"/>
      </top>
    </border>
    <border>
      <left/>
      <right/>
      <top/>
      <bottom style="thin">
        <color rgb="00000000"/>
      </bottom>
      <diagonal/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1">
    <xf numFmtId="0" fontId="0" fillId="0" borderId="0"/>
    <xf numFmtId="0" fontId="1" fillId="2" borderId="1"/>
    <xf numFmtId="0" fontId="2" fillId="0" borderId="2"/>
    <xf numFmtId="0" fontId="3" fillId="0" borderId="2"/>
    <xf numFmtId="0" fontId="4" fillId="3" borderId="3" applyAlignment="1">
      <alignment horizontal="center" vertical="center" wrapText="1"/>
    </xf>
    <xf numFmtId="0" fontId="5" fillId="0" borderId="2"/>
    <xf numFmtId="0" fontId="6" fillId="0" borderId="2"/>
    <xf numFmtId="0" fontId="7" fillId="0" borderId="2"/>
    <xf numFmtId="0" fontId="4" fillId="0" borderId="2"/>
    <xf numFmtId="0" fontId="8" fillId="4" borderId="1"/>
    <xf numFmtId="0" fontId="4" fillId="0" borderId="4"/>
  </cellStyleXfs>
  <cellXfs count="29">
    <xf numFmtId="0" fontId="0" fillId="0" borderId="0" pivotButton="0" quotePrefix="0" xfId="0"/>
    <xf numFmtId="0" fontId="5" fillId="0" borderId="2" pivotButton="0" quotePrefix="0" xfId="5"/>
    <xf numFmtId="0" fontId="6" fillId="0" borderId="2" pivotButton="0" quotePrefix="0" xfId="6"/>
    <xf numFmtId="0" fontId="7" fillId="0" borderId="2" pivotButton="0" quotePrefix="0" xfId="7"/>
    <xf numFmtId="0" fontId="4" fillId="0" borderId="2" pivotButton="0" quotePrefix="0" xfId="8"/>
    <xf numFmtId="0" fontId="9" fillId="0" borderId="2" pivotButton="0" quotePrefix="0" xfId="3"/>
    <xf numFmtId="0" fontId="4" fillId="3" borderId="3" applyAlignment="1" pivotButton="0" quotePrefix="0" xfId="4">
      <alignment horizontal="center" vertical="center" wrapText="1"/>
    </xf>
    <xf numFmtId="0" fontId="1" fillId="2" borderId="1" pivotButton="0" quotePrefix="0" xfId="1"/>
    <xf numFmtId="164" fontId="1" fillId="2" borderId="1" pivotButton="0" quotePrefix="0" xfId="1"/>
    <xf numFmtId="0" fontId="0" fillId="0" borderId="5" pivotButton="0" quotePrefix="0" xfId="0"/>
    <xf numFmtId="0" fontId="2" fillId="0" borderId="2" pivotButton="0" quotePrefix="0" xfId="2"/>
    <xf numFmtId="0" fontId="3" fillId="0" borderId="2" pivotButton="0" quotePrefix="0" xfId="3"/>
    <xf numFmtId="0" fontId="8" fillId="4" borderId="1" pivotButton="0" quotePrefix="0" xfId="9"/>
    <xf numFmtId="1" fontId="1" fillId="2" borderId="1" pivotButton="0" quotePrefix="0" xfId="1"/>
    <xf numFmtId="4" fontId="1" fillId="2" borderId="1" pivotButton="0" quotePrefix="0" xfId="1"/>
    <xf numFmtId="1" fontId="4" fillId="3" borderId="3" applyAlignment="1" pivotButton="0" quotePrefix="0" xfId="4">
      <alignment horizontal="center" vertical="center" wrapText="1"/>
    </xf>
    <xf numFmtId="1" fontId="3" fillId="0" borderId="2" pivotButton="0" quotePrefix="0" xfId="3"/>
    <xf numFmtId="165" fontId="8" fillId="4" borderId="1" pivotButton="0" quotePrefix="0" xfId="9"/>
    <xf numFmtId="1" fontId="2" fillId="0" borderId="2" pivotButton="0" quotePrefix="0" xfId="2"/>
    <xf numFmtId="166" fontId="8" fillId="4" borderId="1" pivotButton="0" quotePrefix="0" xfId="9"/>
    <xf numFmtId="166" fontId="1" fillId="2" borderId="1" pivotButton="0" quotePrefix="0" xfId="1"/>
    <xf numFmtId="167" fontId="8" fillId="4" borderId="1" pivotButton="0" quotePrefix="0" xfId="9"/>
    <xf numFmtId="0" fontId="0" fillId="0" borderId="8" pivotButton="0" quotePrefix="0" xfId="0"/>
    <xf numFmtId="0" fontId="0" fillId="0" borderId="9" pivotButton="0" quotePrefix="0" xfId="0"/>
    <xf numFmtId="1" fontId="8" fillId="4" borderId="1" pivotButton="0" quotePrefix="0" xfId="9"/>
    <xf numFmtId="0" fontId="4" fillId="0" borderId="4" pivotButton="0" quotePrefix="0" xfId="10"/>
    <xf numFmtId="4" fontId="3" fillId="0" borderId="2" pivotButton="0" quotePrefix="0" xfId="3"/>
    <xf numFmtId="0" fontId="0" fillId="0" borderId="0" applyAlignment="1" pivotButton="0" quotePrefix="0" xfId="0">
      <alignment horizontal="center"/>
    </xf>
    <xf numFmtId="0" fontId="4" fillId="0" borderId="4" applyAlignment="1" pivotButton="0" quotePrefix="0" xfId="10">
      <alignment horizontal="center"/>
    </xf>
  </cellXfs>
  <cellStyles count="11">
    <cellStyle name="Normal" xfId="0" builtinId="0" hidden="0"/>
    <cellStyle name="Input" xfId="1" hidden="0"/>
    <cellStyle name="Formula" xfId="2" hidden="0"/>
    <cellStyle name="Link" xfId="3" hidden="0"/>
    <cellStyle name="Header" xfId="4" hidden="0"/>
    <cellStyle name="Title" xfId="5" hidden="0"/>
    <cellStyle name="Subtitle" xfId="6" hidden="0"/>
    <cellStyle name="Note" xfId="7" hidden="0"/>
    <cellStyle name="Label" xfId="8" hidden="0"/>
    <cellStyle name="CalcArea" xfId="9" hidden="0"/>
    <cellStyle name="Total" xfId="1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TriangleData" displayName="tblTriangleData" ref="A5:D6" headerRowCount="1">
  <autoFilter ref="A5:D6"/>
  <tableColumns count="4">
    <tableColumn id="1" name="accident_year"/>
    <tableColumn id="2" name="development_age_months"/>
    <tableColumn id="3" name="value"/>
    <tableColumn id="4" name="source_not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48" customWidth="1" min="4" max="4"/>
    <col width="18" customWidth="1" min="5" max="5"/>
  </cols>
  <sheetData>
    <row r="1">
      <c r="A1" s="1" t="inlineStr">
        <is>
          <t>Kettlerock Mutual Insurance Company</t>
        </is>
      </c>
    </row>
    <row r="2">
      <c r="A2" s="2">
        <f>"Workbook: "&amp;WorkbookTitle</f>
        <v/>
      </c>
    </row>
    <row r="3">
      <c r="A3" s="3" t="inlineStr">
        <is>
          <t>Structure-only template. Copy to submissions/&lt;exercise_id&gt;/ and rename before use.</t>
        </is>
      </c>
    </row>
    <row r="5">
      <c r="A5" s="4" t="inlineStr">
        <is>
          <t>Purpose</t>
        </is>
      </c>
      <c r="B5" s="3" t="inlineStr">
        <is>
          <t>Loss development triangle: data staging, triangle, age-to-age factors, selections, ultimates.</t>
        </is>
      </c>
    </row>
    <row r="7">
      <c r="A7" s="4" t="inlineStr">
        <is>
          <t>Master check</t>
        </is>
      </c>
      <c r="B7" s="5">
        <f>MasterCheck</f>
        <v/>
      </c>
    </row>
    <row r="9">
      <c r="A9" s="4" t="inlineStr">
        <is>
          <t>Version block</t>
        </is>
      </c>
    </row>
    <row r="10">
      <c r="A10" s="6" t="inlineStr">
        <is>
          <t>Version</t>
        </is>
      </c>
      <c r="B10" s="6" t="inlineStr">
        <is>
          <t>Date</t>
        </is>
      </c>
      <c r="C10" s="6" t="inlineStr">
        <is>
          <t>Author</t>
        </is>
      </c>
      <c r="D10" s="6" t="inlineStr">
        <is>
          <t>Description of change</t>
        </is>
      </c>
      <c r="E10" s="6" t="inlineStr">
        <is>
          <t>Reviewer</t>
        </is>
      </c>
    </row>
    <row r="11">
      <c r="A11" s="7" t="n"/>
      <c r="B11" s="8" t="n"/>
      <c r="C11" s="7" t="n"/>
      <c r="D11" s="7" t="n"/>
      <c r="E11" s="7" t="n"/>
    </row>
    <row r="12">
      <c r="A12" s="7" t="n"/>
      <c r="B12" s="8" t="n"/>
      <c r="C12" s="7" t="n"/>
      <c r="D12" s="7" t="n"/>
      <c r="E12" s="7" t="n"/>
    </row>
    <row r="13">
      <c r="A13" s="7" t="n"/>
      <c r="B13" s="8" t="n"/>
      <c r="C13" s="7" t="n"/>
      <c r="D13" s="7" t="n"/>
      <c r="E13" s="7" t="n"/>
    </row>
    <row r="14">
      <c r="A14" s="7" t="n"/>
      <c r="B14" s="8" t="n"/>
      <c r="C14" s="7" t="n"/>
      <c r="D14" s="7" t="n"/>
      <c r="E14" s="7" t="n"/>
    </row>
    <row r="17">
      <c r="A17" s="4" t="inlineStr">
        <is>
          <t>Sheet map</t>
        </is>
      </c>
    </row>
    <row r="18">
      <c r="A18" s="6" t="inlineStr">
        <is>
          <t>Sheet</t>
        </is>
      </c>
      <c r="B18" s="6" t="inlineStr">
        <is>
          <t>Purpose</t>
        </is>
      </c>
      <c r="C18" s="9" t="n"/>
      <c r="D18" s="9" t="n"/>
    </row>
    <row r="19">
      <c r="A19" t="inlineStr">
        <is>
          <t>Inputs</t>
        </is>
      </c>
      <c r="B19" t="inlineStr">
        <is>
          <t>Line, triangle type, accident-year range, evaluation date, units, tolerance</t>
        </is>
      </c>
    </row>
    <row r="20">
      <c r="A20" t="inlineStr">
        <is>
          <t>Data</t>
        </is>
      </c>
      <c r="B20" t="inlineStr">
        <is>
          <t>Long-format source data (accident year × age × value) as table tblTriangleData</t>
        </is>
      </c>
    </row>
    <row r="21">
      <c r="A21" t="inlineStr">
        <is>
          <t>Triangle</t>
        </is>
      </c>
      <c r="B21" t="inlineStr">
        <is>
          <t>Cumulative triangle: accident years down, development age across</t>
        </is>
      </c>
    </row>
    <row r="22">
      <c r="A22" t="inlineStr">
        <is>
          <t>ATA</t>
        </is>
      </c>
      <c r="B22" t="inlineStr">
        <is>
          <t>Age-to-age factors, averages, selections, tail, CDFs</t>
        </is>
      </c>
    </row>
    <row r="23">
      <c r="A23" t="inlineStr">
        <is>
          <t>Ultimates</t>
        </is>
      </c>
      <c r="B23" t="inlineStr">
        <is>
          <t>Projection to ultimate by accident year</t>
        </is>
      </c>
    </row>
    <row r="24">
      <c r="A24" t="inlineStr">
        <is>
          <t>Checks</t>
        </is>
      </c>
      <c r="B24" t="inlineStr">
        <is>
          <t>Reconciliations rolled up to the master check</t>
        </is>
      </c>
    </row>
    <row r="26">
      <c r="A26" s="4" t="inlineStr">
        <is>
          <t>Color legend</t>
        </is>
      </c>
    </row>
    <row r="27">
      <c r="A27" s="7" t="inlineStr">
        <is>
          <t>Hard-coded input</t>
        </is>
      </c>
      <c r="B27" t="inlineStr">
        <is>
          <t>Hard-coded input (blue on yellow)</t>
        </is>
      </c>
    </row>
    <row r="28">
      <c r="A28" s="10" t="inlineStr">
        <is>
          <t>Formula</t>
        </is>
      </c>
      <c r="B28" t="inlineStr">
        <is>
          <t>Formula (black)</t>
        </is>
      </c>
    </row>
    <row r="29">
      <c r="A29" s="11" t="inlineStr">
        <is>
          <t>Link to another sheet</t>
        </is>
      </c>
      <c r="B29" t="inlineStr">
        <is>
          <t>Link to another sheet (green)</t>
        </is>
      </c>
    </row>
    <row r="30">
      <c r="A30" s="12" t="inlineStr">
        <is>
          <t>Calculation area to be built</t>
        </is>
      </c>
      <c r="B30" t="inlineStr">
        <is>
          <t>Calculation area to be built (grey)</t>
        </is>
      </c>
    </row>
    <row r="32">
      <c r="A32" s="3" t="inlineStr">
        <is>
          <t>Conventions: excel/README.md</t>
        </is>
      </c>
    </row>
  </sheetData>
  <mergeCells count="1">
    <mergeCell ref="B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44" customWidth="1" min="4" max="4"/>
  </cols>
  <sheetData>
    <row r="1">
      <c r="A1" s="1" t="inlineStr">
        <is>
          <t>Kettlerock Mutual Insurance Company</t>
        </is>
      </c>
    </row>
    <row r="2">
      <c r="A2" s="2" t="inlineStr">
        <is>
          <t>Inputs and assumptions</t>
        </is>
      </c>
    </row>
    <row r="3">
      <c r="A3" s="3" t="inlineStr">
        <is>
          <t>Every assumption appears once, with its source. Blue cells are inputs.</t>
        </is>
      </c>
    </row>
    <row r="5">
      <c r="A5" s="6" t="inlineStr">
        <is>
          <t>Item</t>
        </is>
      </c>
      <c r="B5" s="6" t="inlineStr">
        <is>
          <t>Value</t>
        </is>
      </c>
      <c r="C5" s="6" t="inlineStr">
        <is>
          <t>Source / date</t>
        </is>
      </c>
      <c r="D5" s="6" t="inlineStr">
        <is>
          <t>Note</t>
        </is>
      </c>
    </row>
    <row r="6">
      <c r="A6" s="4" t="inlineStr">
        <is>
          <t>Workbook title</t>
        </is>
      </c>
      <c r="B6" s="7" t="n"/>
      <c r="C6" s="7" t="n"/>
      <c r="D6" s="3" t="inlineStr">
        <is>
          <t>e.g., GL paid loss development</t>
        </is>
      </c>
    </row>
    <row r="7">
      <c r="A7" s="4" t="inlineStr">
        <is>
          <t>Line of business</t>
        </is>
      </c>
      <c r="B7" s="7" t="n"/>
      <c r="C7" s="7" t="n"/>
      <c r="D7" s="3" t="inlineStr">
        <is>
          <t>CA, GL, CP or WC</t>
        </is>
      </c>
    </row>
    <row r="8">
      <c r="A8" s="4" t="inlineStr">
        <is>
          <t>Triangle type</t>
        </is>
      </c>
      <c r="B8" s="7" t="n"/>
      <c r="C8" s="7" t="n"/>
    </row>
    <row r="9">
      <c r="A9" s="4" t="inlineStr">
        <is>
          <t>Loss basis</t>
        </is>
      </c>
      <c r="B9" s="7" t="n"/>
      <c r="C9" s="7" t="n"/>
    </row>
    <row r="10">
      <c r="A10" s="4" t="inlineStr">
        <is>
          <t>First accident year</t>
        </is>
      </c>
      <c r="B10" s="13" t="n"/>
      <c r="C10" s="7" t="n"/>
      <c r="D10" s="3" t="inlineStr">
        <is>
          <t>Oldest accident year in the triangle</t>
        </is>
      </c>
    </row>
    <row r="11">
      <c r="A11" s="4" t="inlineStr">
        <is>
          <t>Development interval (months)</t>
        </is>
      </c>
      <c r="B11" s="13" t="n">
        <v>12</v>
      </c>
      <c r="C11" s="7" t="n"/>
      <c r="D11" s="3" t="inlineStr">
        <is>
          <t>12 for annual development</t>
        </is>
      </c>
    </row>
    <row r="12">
      <c r="A12" s="4" t="inlineStr">
        <is>
          <t>Evaluation date</t>
        </is>
      </c>
      <c r="B12" s="8" t="n"/>
      <c r="C12" s="7" t="n"/>
    </row>
    <row r="13">
      <c r="A13" s="4" t="inlineStr">
        <is>
          <t>Units</t>
        </is>
      </c>
      <c r="B13" s="7" t="n"/>
      <c r="C13" s="7" t="n"/>
    </row>
    <row r="14">
      <c r="A14" s="4" t="inlineStr">
        <is>
          <t>Check tolerance</t>
        </is>
      </c>
      <c r="B14" s="14" t="n">
        <v>1</v>
      </c>
      <c r="C14" s="7" t="n"/>
      <c r="D14" s="3" t="inlineStr">
        <is>
          <t>Largest acceptable absolute difference in a check</t>
        </is>
      </c>
    </row>
    <row r="15">
      <c r="A15" s="4" t="inlineStr">
        <is>
          <t>Source of data</t>
        </is>
      </c>
      <c r="B15" s="7" t="n"/>
      <c r="C15" s="7" t="n"/>
      <c r="D15" s="3" t="inlineStr">
        <is>
          <t>Query, notebook or file that produced the Data sheet</t>
        </is>
      </c>
    </row>
    <row r="16">
      <c r="A16" s="4" t="inlineStr">
        <is>
          <t>Sign convention</t>
        </is>
      </c>
      <c r="B16" s="7" t="n"/>
      <c r="C16" s="7" t="n"/>
      <c r="D16" s="3" t="inlineStr">
        <is>
          <t>Default: losses positive; recoveries reduce losses</t>
        </is>
      </c>
    </row>
  </sheetData>
  <dataValidations count="4">
    <dataValidation sqref="B7" showDropDown="0" showInputMessage="0" showErrorMessage="0" allowBlank="1" type="list">
      <formula1>"CA,GL,CP,WC"</formula1>
    </dataValidation>
    <dataValidation sqref="B8" showDropDown="0" showInputMessage="0" showErrorMessage="0" allowBlank="1" type="list">
      <formula1>"Paid loss,Incurred loss,Reported counts,Closed counts"</formula1>
    </dataValidation>
    <dataValidation sqref="B9" showDropDown="0" showInputMessage="0" showErrorMessage="0" allowBlank="1" type="list">
      <formula1>"Indemnity only,Indemnity + ALAE,Counts"</formula1>
    </dataValidation>
    <dataValidation sqref="B13" showDropDown="0" showInputMessage="0" showErrorMessage="0" allowBlank="1" type="list">
      <formula1>"$,$000,count"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6" customWidth="1" min="3" max="3"/>
    <col width="16" customWidth="1" min="4" max="4"/>
  </cols>
  <sheetData>
    <row r="1">
      <c r="A1" s="1" t="inlineStr">
        <is>
          <t>Kettlerock Mutual Insurance Company</t>
        </is>
      </c>
    </row>
    <row r="2">
      <c r="A2" s="2" t="inlineStr">
        <is>
          <t>Source data</t>
        </is>
      </c>
    </row>
    <row r="3">
      <c r="A3" s="3" t="inlineStr">
        <is>
          <t>Paste or link source values here unchanged (long format). Pasted values are inputs.</t>
        </is>
      </c>
    </row>
    <row r="5">
      <c r="A5" t="inlineStr">
        <is>
          <t>accident_year</t>
        </is>
      </c>
      <c r="B5" t="inlineStr">
        <is>
          <t>development_age_months</t>
        </is>
      </c>
      <c r="C5" t="inlineStr">
        <is>
          <t>value</t>
        </is>
      </c>
      <c r="D5" t="inlineStr">
        <is>
          <t>source_note</t>
        </is>
      </c>
    </row>
    <row r="6">
      <c r="A6" s="7" t="n"/>
      <c r="B6" s="7" t="n"/>
      <c r="C6" s="7" t="n"/>
      <c r="D6" s="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Kettlerock Mutual Insurance Company</t>
        </is>
      </c>
    </row>
    <row r="2">
      <c r="A2" s="2">
        <f>"Cumulative triangle — "&amp;LineCode&amp;" "&amp;TriangleType&amp;" ("&amp;Units&amp;")"</f>
        <v/>
      </c>
    </row>
    <row r="3">
      <c r="A3" s="3" t="inlineStr">
        <is>
          <t>Rows: accident year. Columns: development age in months. Build the cells from tblTriangleData.</t>
        </is>
      </c>
    </row>
    <row r="5">
      <c r="A5" s="6" t="inlineStr">
        <is>
          <t>Accident year</t>
        </is>
      </c>
      <c r="B5" s="15">
        <f>DevInterval*1</f>
        <v/>
      </c>
      <c r="C5" s="15">
        <f>DevInterval*2</f>
        <v/>
      </c>
      <c r="D5" s="15">
        <f>DevInterval*3</f>
        <v/>
      </c>
      <c r="E5" s="15">
        <f>DevInterval*4</f>
        <v/>
      </c>
      <c r="F5" s="15">
        <f>DevInterval*5</f>
        <v/>
      </c>
      <c r="G5" s="15">
        <f>DevInterval*6</f>
        <v/>
      </c>
      <c r="H5" s="15">
        <f>DevInterval*7</f>
        <v/>
      </c>
      <c r="I5" s="15">
        <f>DevInterval*8</f>
        <v/>
      </c>
      <c r="J5" s="15">
        <f>DevInterval*9</f>
        <v/>
      </c>
      <c r="K5" s="15">
        <f>DevInterval*10</f>
        <v/>
      </c>
    </row>
    <row r="6">
      <c r="A6" s="16">
        <f>FirstAY</f>
        <v/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</row>
    <row r="7">
      <c r="A7" s="18">
        <f>A6+1</f>
        <v/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</row>
    <row r="8">
      <c r="A8" s="18">
        <f>A7+1</f>
        <v/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</row>
    <row r="9">
      <c r="A9" s="18">
        <f>A8+1</f>
        <v/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</row>
    <row r="10">
      <c r="A10" s="18">
        <f>A9+1</f>
        <v/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</row>
    <row r="11">
      <c r="A11" s="18">
        <f>A10+1</f>
        <v/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</row>
    <row r="12">
      <c r="A12" s="18">
        <f>A11+1</f>
        <v/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</row>
    <row r="13">
      <c r="A13" s="18">
        <f>A12+1</f>
        <v/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</row>
    <row r="14">
      <c r="A14" s="18">
        <f>A13+1</f>
        <v/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</row>
    <row r="15">
      <c r="A15" s="18">
        <f>A14+1</f>
        <v/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</row>
    <row r="17">
      <c r="A17" s="4" t="inlineStr">
        <is>
          <t>Latest diagonal total</t>
        </is>
      </c>
      <c r="B17" s="17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Kettlerock Mutual Insurance Company</t>
        </is>
      </c>
    </row>
    <row r="2">
      <c r="A2" s="2">
        <f>"Age-to-age factors — "&amp;LineCode&amp;" "&amp;TriangleType</f>
        <v/>
      </c>
    </row>
    <row r="3">
      <c r="A3" s="3" t="inlineStr">
        <is>
          <t>Factors, averages and selections. Document the rationale for every selection.</t>
        </is>
      </c>
    </row>
    <row r="5">
      <c r="A5" s="6" t="inlineStr">
        <is>
          <t>Accident year</t>
        </is>
      </c>
      <c r="B5" s="6">
        <f>Triangle!B5&amp;"-"&amp;Triangle!C5</f>
        <v/>
      </c>
      <c r="C5" s="6">
        <f>Triangle!C5&amp;"-"&amp;Triangle!D5</f>
        <v/>
      </c>
      <c r="D5" s="6">
        <f>Triangle!D5&amp;"-"&amp;Triangle!E5</f>
        <v/>
      </c>
      <c r="E5" s="6">
        <f>Triangle!E5&amp;"-"&amp;Triangle!F5</f>
        <v/>
      </c>
      <c r="F5" s="6">
        <f>Triangle!F5&amp;"-"&amp;Triangle!G5</f>
        <v/>
      </c>
      <c r="G5" s="6">
        <f>Triangle!G5&amp;"-"&amp;Triangle!H5</f>
        <v/>
      </c>
      <c r="H5" s="6">
        <f>Triangle!H5&amp;"-"&amp;Triangle!I5</f>
        <v/>
      </c>
      <c r="I5" s="6">
        <f>Triangle!I5&amp;"-"&amp;Triangle!J5</f>
        <v/>
      </c>
      <c r="J5" s="6">
        <f>Triangle!J5&amp;"-"&amp;Triangle!K5</f>
        <v/>
      </c>
      <c r="K5" s="6" t="inlineStr">
        <is>
          <t>Tail</t>
        </is>
      </c>
    </row>
    <row r="6">
      <c r="A6" s="16">
        <f>Triangle!A6</f>
        <v/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</row>
    <row r="7">
      <c r="A7" s="16">
        <f>Triangle!A7</f>
        <v/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</row>
    <row r="8">
      <c r="A8" s="16">
        <f>Triangle!A8</f>
        <v/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>
      <c r="A9" s="16">
        <f>Triangle!A9</f>
        <v/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</row>
    <row r="10">
      <c r="A10" s="16">
        <f>Triangle!A10</f>
        <v/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</row>
    <row r="11">
      <c r="A11" s="16">
        <f>Triangle!A11</f>
        <v/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>
      <c r="A12" s="16">
        <f>Triangle!A12</f>
        <v/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</row>
    <row r="13">
      <c r="A13" s="16">
        <f>Triangle!A13</f>
        <v/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</row>
    <row r="14">
      <c r="A14" s="16">
        <f>Triangle!A14</f>
        <v/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</row>
    <row r="16">
      <c r="A16" s="4" t="inlineStr">
        <is>
          <t>Averages</t>
        </is>
      </c>
    </row>
    <row r="17">
      <c r="A17" t="inlineStr">
        <is>
          <t>Simple average — all years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</row>
    <row r="18">
      <c r="A18" t="inlineStr">
        <is>
          <t>Simple average — latest 3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</row>
    <row r="19">
      <c r="A19" t="inlineStr">
        <is>
          <t>Volume-weighted — all years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A20" t="inlineStr">
        <is>
          <t>Volume-weighted — latest 3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t="inlineStr">
        <is>
          <t>Volume-weighted — latest 5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</row>
    <row r="22">
      <c r="A22" t="inlineStr">
        <is>
          <t>Average excluding high and low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</row>
    <row r="23">
      <c r="A23" t="inlineStr">
        <is>
          <t>Prior selection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5">
      <c r="A25" s="4" t="inlineStr">
        <is>
          <t>Selected factor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</row>
    <row r="26">
      <c r="A26" s="4" t="inlineStr">
        <is>
          <t>Cumulative development factor (CDF)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</row>
    <row r="27">
      <c r="A27" s="4" t="inlineStr">
        <is>
          <t>Percent developed (1 / CDF)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</row>
    <row r="28">
      <c r="A28" s="4" t="inlineStr">
        <is>
          <t>Selection rationale</t>
        </is>
      </c>
      <c r="B28" s="7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3" t="n"/>
    </row>
    <row r="29">
      <c r="A29" s="3" t="inlineStr">
        <is>
          <t>Selected factors and the tail are judgmental inputs (blue). Footnote the basis of each.</t>
        </is>
      </c>
    </row>
  </sheetData>
  <mergeCells count="1">
    <mergeCell ref="B28:K28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6" customWidth="1" min="5" max="5"/>
    <col width="20" customWidth="1" min="6" max="6"/>
    <col width="40" customWidth="1" min="7" max="7"/>
  </cols>
  <sheetData>
    <row r="1">
      <c r="A1" s="1" t="inlineStr">
        <is>
          <t>Kettlerock Mutual Insurance Company</t>
        </is>
      </c>
    </row>
    <row r="2">
      <c r="A2" s="2">
        <f>"Projection to ultimate — "&amp;LineCode&amp;" "&amp;TriangleType&amp;" ("&amp;Units&amp;")"</f>
        <v/>
      </c>
    </row>
    <row r="3">
      <c r="A3" s="3" t="inlineStr">
        <is>
          <t>Column derivations go in the header row, e.g., (4) = (2) × (3).</t>
        </is>
      </c>
    </row>
    <row r="5">
      <c r="A5" s="6" t="inlineStr">
        <is>
          <t>Accident year</t>
        </is>
      </c>
      <c r="B5" s="6" t="inlineStr">
        <is>
          <t>(1) Age (months)</t>
        </is>
      </c>
      <c r="C5" s="6" t="inlineStr">
        <is>
          <t>(2) To date</t>
        </is>
      </c>
      <c r="D5" s="6" t="inlineStr">
        <is>
          <t>(3) CDF to ultimate</t>
        </is>
      </c>
      <c r="E5" s="6" t="inlineStr">
        <is>
          <t>(4) Ultimate</t>
        </is>
      </c>
      <c r="F5" s="6" t="inlineStr">
        <is>
          <t>(5) Unreported / IBNR</t>
        </is>
      </c>
      <c r="G5" s="6" t="inlineStr">
        <is>
          <t>Notes</t>
        </is>
      </c>
    </row>
    <row r="6">
      <c r="A6" s="16">
        <f>Triangle!A6</f>
        <v/>
      </c>
      <c r="B6" s="24" t="n"/>
      <c r="C6" s="17" t="n"/>
      <c r="D6" s="19" t="n"/>
      <c r="E6" s="17" t="n"/>
      <c r="F6" s="17" t="n"/>
      <c r="G6" s="7" t="n"/>
    </row>
    <row r="7">
      <c r="A7" s="16">
        <f>Triangle!A7</f>
        <v/>
      </c>
      <c r="B7" s="24" t="n"/>
      <c r="C7" s="17" t="n"/>
      <c r="D7" s="19" t="n"/>
      <c r="E7" s="17" t="n"/>
      <c r="F7" s="17" t="n"/>
      <c r="G7" s="7" t="n"/>
    </row>
    <row r="8">
      <c r="A8" s="16">
        <f>Triangle!A8</f>
        <v/>
      </c>
      <c r="B8" s="24" t="n"/>
      <c r="C8" s="17" t="n"/>
      <c r="D8" s="19" t="n"/>
      <c r="E8" s="17" t="n"/>
      <c r="F8" s="17" t="n"/>
      <c r="G8" s="7" t="n"/>
    </row>
    <row r="9">
      <c r="A9" s="16">
        <f>Triangle!A9</f>
        <v/>
      </c>
      <c r="B9" s="24" t="n"/>
      <c r="C9" s="17" t="n"/>
      <c r="D9" s="19" t="n"/>
      <c r="E9" s="17" t="n"/>
      <c r="F9" s="17" t="n"/>
      <c r="G9" s="7" t="n"/>
    </row>
    <row r="10">
      <c r="A10" s="16">
        <f>Triangle!A10</f>
        <v/>
      </c>
      <c r="B10" s="24" t="n"/>
      <c r="C10" s="17" t="n"/>
      <c r="D10" s="19" t="n"/>
      <c r="E10" s="17" t="n"/>
      <c r="F10" s="17" t="n"/>
      <c r="G10" s="7" t="n"/>
    </row>
    <row r="11">
      <c r="A11" s="16">
        <f>Triangle!A11</f>
        <v/>
      </c>
      <c r="B11" s="24" t="n"/>
      <c r="C11" s="17" t="n"/>
      <c r="D11" s="19" t="n"/>
      <c r="E11" s="17" t="n"/>
      <c r="F11" s="17" t="n"/>
      <c r="G11" s="7" t="n"/>
    </row>
    <row r="12">
      <c r="A12" s="16">
        <f>Triangle!A12</f>
        <v/>
      </c>
      <c r="B12" s="24" t="n"/>
      <c r="C12" s="17" t="n"/>
      <c r="D12" s="19" t="n"/>
      <c r="E12" s="17" t="n"/>
      <c r="F12" s="17" t="n"/>
      <c r="G12" s="7" t="n"/>
    </row>
    <row r="13">
      <c r="A13" s="16">
        <f>Triangle!A13</f>
        <v/>
      </c>
      <c r="B13" s="24" t="n"/>
      <c r="C13" s="17" t="n"/>
      <c r="D13" s="19" t="n"/>
      <c r="E13" s="17" t="n"/>
      <c r="F13" s="17" t="n"/>
      <c r="G13" s="7" t="n"/>
    </row>
    <row r="14">
      <c r="A14" s="16">
        <f>Triangle!A14</f>
        <v/>
      </c>
      <c r="B14" s="24" t="n"/>
      <c r="C14" s="17" t="n"/>
      <c r="D14" s="19" t="n"/>
      <c r="E14" s="17" t="n"/>
      <c r="F14" s="17" t="n"/>
      <c r="G14" s="7" t="n"/>
    </row>
    <row r="15">
      <c r="A15" s="16">
        <f>Triangle!A15</f>
        <v/>
      </c>
      <c r="B15" s="24" t="n"/>
      <c r="C15" s="17" t="n"/>
      <c r="D15" s="19" t="n"/>
      <c r="E15" s="17" t="n"/>
      <c r="F15" s="17" t="n"/>
      <c r="G15" s="7" t="n"/>
    </row>
    <row r="16">
      <c r="A16" s="25" t="inlineStr">
        <is>
          <t>Total</t>
        </is>
      </c>
      <c r="B16" s="25" t="n"/>
      <c r="C16" s="25" t="n"/>
      <c r="D16" s="25" t="n"/>
      <c r="E16" s="25" t="n"/>
      <c r="F16" s="25" t="n"/>
      <c r="G16" s="25" t="n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14" customWidth="1" min="4" max="4"/>
    <col width="12" customWidth="1" min="5" max="5"/>
  </cols>
  <sheetData>
    <row r="1">
      <c r="A1" s="1" t="inlineStr">
        <is>
          <t>Kettlerock Mutual Insurance Company</t>
        </is>
      </c>
    </row>
    <row r="2">
      <c r="A2" s="2" t="inlineStr">
        <is>
          <t>Checks and reconciliations</t>
        </is>
      </c>
    </row>
    <row r="3">
      <c r="A3" s="3" t="inlineStr">
        <is>
          <t>Each Difference cell holds a formula that should equal zero. Status turns red if |difference| &gt; Tolerance.</t>
        </is>
      </c>
    </row>
    <row r="5">
      <c r="A5" s="6" t="inlineStr">
        <is>
          <t>#</t>
        </is>
      </c>
      <c r="B5" s="6" t="inlineStr">
        <is>
          <t>Check description</t>
        </is>
      </c>
      <c r="C5" s="6" t="inlineStr">
        <is>
          <t>Difference</t>
        </is>
      </c>
      <c r="D5" s="6" t="inlineStr">
        <is>
          <t>Tolerance</t>
        </is>
      </c>
      <c r="E5" s="6" t="inlineStr">
        <is>
          <t>Status</t>
        </is>
      </c>
    </row>
    <row r="6">
      <c r="A6" t="n">
        <v>1</v>
      </c>
      <c r="B6" s="7" t="inlineStr">
        <is>
          <t>Sum of tblTriangleData values at latest age by AY minus control total from source</t>
        </is>
      </c>
      <c r="C6" s="17" t="n"/>
      <c r="D6" s="26">
        <f>Tolerance</f>
        <v/>
      </c>
      <c r="E6" s="27">
        <f>IF(C6="","n/a",IF(ABS(C6)&lt;=D6,"OK","CHECK"))</f>
        <v/>
      </c>
    </row>
    <row r="7">
      <c r="A7" t="n">
        <v>2</v>
      </c>
      <c r="B7" s="7" t="inlineStr">
        <is>
          <t>Triangle latest diagonal total minus Data control total</t>
        </is>
      </c>
      <c r="C7" s="17" t="n"/>
      <c r="D7" s="26">
        <f>Tolerance</f>
        <v/>
      </c>
      <c r="E7" s="27">
        <f>IF(C7="","n/a",IF(ABS(C7)&lt;=D7,"OK","CHECK"))</f>
        <v/>
      </c>
    </row>
    <row r="8">
      <c r="A8" t="n">
        <v>3</v>
      </c>
      <c r="B8" s="7" t="inlineStr">
        <is>
          <t>Ultimates (2) To date total minus Triangle latest diagonal total</t>
        </is>
      </c>
      <c r="C8" s="17" t="n"/>
      <c r="D8" s="26">
        <f>Tolerance</f>
        <v/>
      </c>
      <c r="E8" s="27">
        <f>IF(C8="","n/a",IF(ABS(C8)&lt;=D8,"OK","CHECK"))</f>
        <v/>
      </c>
    </row>
    <row r="9">
      <c r="A9" t="n">
        <v>4</v>
      </c>
      <c r="B9" s="7" t="n"/>
      <c r="C9" s="17" t="n"/>
      <c r="D9" s="26">
        <f>Tolerance</f>
        <v/>
      </c>
      <c r="E9" s="27">
        <f>IF(C9="","n/a",IF(ABS(C9)&lt;=D9,"OK","CHECK"))</f>
        <v/>
      </c>
    </row>
    <row r="10">
      <c r="A10" t="n">
        <v>5</v>
      </c>
      <c r="B10" s="7" t="n"/>
      <c r="C10" s="17" t="n"/>
      <c r="D10" s="26">
        <f>Tolerance</f>
        <v/>
      </c>
      <c r="E10" s="27">
        <f>IF(C10="","n/a",IF(ABS(C10)&lt;=D10,"OK","CHECK"))</f>
        <v/>
      </c>
    </row>
    <row r="11">
      <c r="A11" t="n">
        <v>6</v>
      </c>
      <c r="B11" s="7" t="n"/>
      <c r="C11" s="17" t="n"/>
      <c r="D11" s="26">
        <f>Tolerance</f>
        <v/>
      </c>
      <c r="E11" s="27">
        <f>IF(C11="","n/a",IF(ABS(C11)&lt;=D11,"OK","CHECK"))</f>
        <v/>
      </c>
    </row>
    <row r="12">
      <c r="A12" t="n">
        <v>7</v>
      </c>
      <c r="B12" s="7" t="n"/>
      <c r="C12" s="17" t="n"/>
      <c r="D12" s="26">
        <f>Tolerance</f>
        <v/>
      </c>
      <c r="E12" s="27">
        <f>IF(C12="","n/a",IF(ABS(C12)&lt;=D12,"OK","CHECK"))</f>
        <v/>
      </c>
    </row>
    <row r="13">
      <c r="A13" t="n">
        <v>8</v>
      </c>
      <c r="B13" s="7" t="n"/>
      <c r="C13" s="17" t="n"/>
      <c r="D13" s="26">
        <f>Tolerance</f>
        <v/>
      </c>
      <c r="E13" s="27">
        <f>IF(C13="","n/a",IF(ABS(C13)&lt;=D13,"OK","CHECK"))</f>
        <v/>
      </c>
    </row>
    <row r="15">
      <c r="B15" s="4" t="inlineStr">
        <is>
          <t>Master check (all checks OK or not yet built)</t>
        </is>
      </c>
      <c r="E15" s="28">
        <f>IF(COUNTIF(E6:E13,"CHECK")=0,"OK","CHECK")</f>
        <v/>
      </c>
    </row>
    <row r="17">
      <c r="B17" s="3" t="inlineStr">
        <is>
          <t>A Difference left blank shows n/a. Build every check before submitting.</t>
        </is>
      </c>
    </row>
  </sheetData>
  <conditionalFormatting sqref="E6:E13">
    <cfRule type="cellIs" priority="1" operator="equal" dxfId="0">
      <formula>"CHECK"</formula>
    </cfRule>
    <cfRule type="cellIs" priority="2" operator="equal" dxfId="1">
      <formula>"OK"</formula>
    </cfRule>
  </conditionalFormatting>
  <conditionalFormatting sqref="E15">
    <cfRule type="cellIs" priority="3" operator="equal" dxfId="0">
      <formula>"CHECK"</formula>
    </cfRule>
    <cfRule type="cellIs" priority="4" operator="equal" dxfId="1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2026-10-06T19:31:11Z</dcterms:created>
  <dcterms:modified xsi:type="dcterms:W3CDTF">2026-10-06T19:31:11Z</dcterms:modified>
</cp:coreProperties>
</file>